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ffrey24\Documents\2025\SegundoAno\MatematicaBasica\SegundoTrimestre\Notas\TabelaNotas\2C\"/>
    </mc:Choice>
  </mc:AlternateContent>
  <bookViews>
    <workbookView xWindow="0" yWindow="0" windowWidth="19200" windowHeight="6930" activeTab="1"/>
  </bookViews>
  <sheets>
    <sheet name="Planilha1" sheetId="1" r:id="rId1"/>
    <sheet name="Resultado" sheetId="2" r:id="rId2"/>
  </sheets>
  <definedNames>
    <definedName name="DadosExternos_1" localSheetId="1" hidden="1">Resultado!$A$1:$F$29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F4" i="2" l="1"/>
  <c r="F5" i="2"/>
  <c r="F6" i="2"/>
  <c r="F7" i="2"/>
  <c r="F8" i="2"/>
  <c r="F9" i="2"/>
  <c r="F10" i="2"/>
  <c r="F11" i="2"/>
  <c r="G11" i="2" s="1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" i="2"/>
  <c r="G3" i="2" s="1"/>
</calcChain>
</file>

<file path=xl/connections.xml><?xml version="1.0" encoding="utf-8"?>
<connections xmlns="http://schemas.openxmlformats.org/spreadsheetml/2006/main">
  <connection id="1" keepAlive="1" name="Consulta - notas" description="Conexão com a consulta 'notas' na pasta de trabalho." type="5" refreshedVersion="6" background="1" saveData="1">
    <dbPr connection="Provider=Microsoft.Mashup.OleDb.1;Data Source=$Workbook$;Location=notas;Extended Properties=&quot;&quot;" command="SELECT * FROM [notas]"/>
  </connection>
</connections>
</file>

<file path=xl/sharedStrings.xml><?xml version="1.0" encoding="utf-8"?>
<sst xmlns="http://schemas.openxmlformats.org/spreadsheetml/2006/main" count="147" uniqueCount="55">
  <si>
    <t>Column1</t>
  </si>
  <si>
    <t>Column2</t>
  </si>
  <si>
    <t>Column3</t>
  </si>
  <si>
    <t>Column4</t>
  </si>
  <si>
    <t>Column5</t>
  </si>
  <si>
    <t>Column6</t>
  </si>
  <si>
    <t>ESTUDANTES</t>
  </si>
  <si>
    <t>AT1</t>
  </si>
  <si>
    <t>AT2</t>
  </si>
  <si>
    <t>AT3</t>
  </si>
  <si>
    <t>Prova</t>
  </si>
  <si>
    <t>AMANDA DA SILVA COTA</t>
  </si>
  <si>
    <t>1,0</t>
  </si>
  <si>
    <t>8,0</t>
  </si>
  <si>
    <t>3,0</t>
  </si>
  <si>
    <t>BRENO EDUARDO MENDES DA SILVA</t>
  </si>
  <si>
    <t>NF</t>
  </si>
  <si>
    <t>BRYAN VINICIUS DE LIMA BONFIM</t>
  </si>
  <si>
    <t>7,0</t>
  </si>
  <si>
    <t>2,0</t>
  </si>
  <si>
    <t>DIEGO SOUZA MAURO</t>
  </si>
  <si>
    <t>EVELYN MYRELLE DA SILVA LIMA</t>
  </si>
  <si>
    <t>2,5</t>
  </si>
  <si>
    <t>GABRIELA VIVIANE DA SILVA CAVALCANTI</t>
  </si>
  <si>
    <t>GUILHERME RUAN DE OLIVEIRA SILVA</t>
  </si>
  <si>
    <t>GUSTAVO HENRIQUE DA SILVA</t>
  </si>
  <si>
    <t>GUTEMBERG MENDES LEITE</t>
  </si>
  <si>
    <t>IASMIN CAVALCANTI TENORIO</t>
  </si>
  <si>
    <t>9,5</t>
  </si>
  <si>
    <t>INGRID NAYANE SANTOS CAVALCANTI</t>
  </si>
  <si>
    <t>9,0</t>
  </si>
  <si>
    <t>3,5</t>
  </si>
  <si>
    <t>ISABELLA BEATRIZ RODRIGUES SIQUEIRA</t>
  </si>
  <si>
    <t>ITALO DE BARROS DA SILVA</t>
  </si>
  <si>
    <t>JOSE FRANCISCO MARTINS PAIS DE LIRA</t>
  </si>
  <si>
    <t>JOSE RIQUELME TEIXEIRA VINUTO</t>
  </si>
  <si>
    <t>KAUA FREIRE BATISTA DA SILVA</t>
  </si>
  <si>
    <t>0,5</t>
  </si>
  <si>
    <t>LARISSA MONIKE PEREIRA MACENA</t>
  </si>
  <si>
    <t>MARIA CLARA DA SILVA CABRAL</t>
  </si>
  <si>
    <t>PABLO STHYVAN TAVARES DE LIMA</t>
  </si>
  <si>
    <t>PEDRO LUCAS ALVES DO CARMO</t>
  </si>
  <si>
    <t>6,0</t>
  </si>
  <si>
    <t>RAQUELE BARBOSA BESERRA</t>
  </si>
  <si>
    <t>RAYSSA VITORIA DE FRANCA VIEIRA</t>
  </si>
  <si>
    <t>SAMUEL JOSE BISPO DA SILVA</t>
  </si>
  <si>
    <t>SANDREANE BARBOSA DA SILVA</t>
  </si>
  <si>
    <t>VALDECI BARBOSA DE ARAUJO NETO</t>
  </si>
  <si>
    <t>VIVIANE DE OLIVEIRA ARAUJO</t>
  </si>
  <si>
    <t>0,0</t>
  </si>
  <si>
    <t>WALLISON FERNANDO DA SILVA SANTOS</t>
  </si>
  <si>
    <t>5,0</t>
  </si>
  <si>
    <t xml:space="preserve">Recuperação </t>
  </si>
  <si>
    <t>Column7</t>
  </si>
  <si>
    <t xml:space="preserve">Resultado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</si>
</sst>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dosExternos_1" connectionId="1" autoFormatId="0" applyNumberFormats="0" applyBorderFormats="0" applyFontFormats="1" applyPatternFormats="1" applyAlignmentFormats="0" applyWidthHeightFormats="0">
  <queryTableRefresh preserveSortFilterLayout="0" nextId="8" unboundColumnsRight="1">
    <queryTableFields count="7">
      <queryTableField id="1" name="Column1" tableColumnId="13"/>
      <queryTableField id="2" name="Column2" tableColumnId="14"/>
      <queryTableField id="3" name="Column3" tableColumnId="15"/>
      <queryTableField id="4" name="Column4" tableColumnId="16"/>
      <queryTableField id="5" name="Column5" tableColumnId="17"/>
      <queryTableField id="6" name="Column6" tableColumnId="18"/>
      <queryTableField id="7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notas" displayName="notas" ref="A1:G29" tableType="queryTable" totalsRowShown="0">
  <autoFilter ref="A1:G29"/>
  <tableColumns count="7">
    <tableColumn id="13" uniqueName="13" name="Column1" queryTableFieldId="1" dataDxfId="6"/>
    <tableColumn id="14" uniqueName="14" name="Column2" queryTableFieldId="2" dataDxfId="5"/>
    <tableColumn id="15" uniqueName="15" name="Column3" queryTableFieldId="3" dataDxfId="4"/>
    <tableColumn id="16" uniqueName="16" name="Column4" queryTableFieldId="4" dataDxfId="3"/>
    <tableColumn id="17" uniqueName="17" name="Column5" queryTableFieldId="5" dataDxfId="2"/>
    <tableColumn id="18" uniqueName="18" name="Column6" queryTableFieldId="6" dataDxfId="1"/>
    <tableColumn id="19" uniqueName="19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topLeftCell="A6" workbookViewId="0">
      <selection activeCell="E12" sqref="E12"/>
    </sheetView>
  </sheetViews>
  <sheetFormatPr defaultRowHeight="14.5" x14ac:dyDescent="0.35"/>
  <cols>
    <col min="1" max="1" width="36.26953125" bestFit="1" customWidth="1"/>
    <col min="2" max="6" width="10.54296875" bestFit="1" customWidth="1"/>
    <col min="7" max="7" width="13.3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53</v>
      </c>
    </row>
    <row r="2" spans="1:7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54</v>
      </c>
      <c r="G2" s="1" t="s">
        <v>52</v>
      </c>
    </row>
    <row r="3" spans="1:7" x14ac:dyDescent="0.35">
      <c r="A3" s="1" t="s">
        <v>11</v>
      </c>
      <c r="B3" s="1" t="s">
        <v>12</v>
      </c>
      <c r="C3" s="1" t="s">
        <v>12</v>
      </c>
      <c r="D3" s="1" t="s">
        <v>13</v>
      </c>
      <c r="E3" s="1" t="s">
        <v>14</v>
      </c>
      <c r="F3" s="1">
        <f>(IF(B3="NF",0,B3)+IF(C3="NF",0,C3)+IF(D3="NF",0,D3)+IF(E3="NF",0,E3))/2</f>
        <v>6.5</v>
      </c>
      <c r="G3" s="1" t="str">
        <f>IF(F3&gt;=5.6,"Aprovado","Reprovado")</f>
        <v>Aprovado</v>
      </c>
    </row>
    <row r="4" spans="1:7" x14ac:dyDescent="0.35">
      <c r="A4" s="1" t="s">
        <v>15</v>
      </c>
      <c r="B4" s="1" t="s">
        <v>16</v>
      </c>
      <c r="C4" s="1" t="s">
        <v>16</v>
      </c>
      <c r="D4" s="1" t="s">
        <v>16</v>
      </c>
      <c r="E4" s="1" t="s">
        <v>16</v>
      </c>
      <c r="F4" s="1">
        <f t="shared" ref="F4:F29" si="0">(IF(B4="NF",0,B4)+IF(C4="NF",0,C4)+IF(D4="NF",0,D4)+IF(E4="NF",0,E4))/2</f>
        <v>0</v>
      </c>
      <c r="G4" s="1" t="str">
        <f t="shared" ref="G4:G29" si="1">IF(F4&gt;=5.6,"Aprovado","Reprovado")</f>
        <v>Reprovado</v>
      </c>
    </row>
    <row r="5" spans="1:7" x14ac:dyDescent="0.35">
      <c r="A5" s="1" t="s">
        <v>17</v>
      </c>
      <c r="B5" s="1" t="s">
        <v>16</v>
      </c>
      <c r="C5" s="1" t="s">
        <v>16</v>
      </c>
      <c r="D5" s="1" t="s">
        <v>18</v>
      </c>
      <c r="E5" s="1" t="s">
        <v>19</v>
      </c>
      <c r="F5" s="1">
        <f t="shared" si="0"/>
        <v>4.5</v>
      </c>
      <c r="G5" s="1" t="str">
        <f t="shared" si="1"/>
        <v>Reprovado</v>
      </c>
    </row>
    <row r="6" spans="1:7" x14ac:dyDescent="0.35">
      <c r="A6" s="1" t="s">
        <v>20</v>
      </c>
      <c r="B6" s="1" t="s">
        <v>16</v>
      </c>
      <c r="C6" s="1" t="s">
        <v>16</v>
      </c>
      <c r="D6" s="1" t="s">
        <v>12</v>
      </c>
      <c r="E6" s="1" t="s">
        <v>14</v>
      </c>
      <c r="F6" s="1">
        <f t="shared" si="0"/>
        <v>2</v>
      </c>
      <c r="G6" s="1" t="str">
        <f t="shared" si="1"/>
        <v>Reprovado</v>
      </c>
    </row>
    <row r="7" spans="1:7" x14ac:dyDescent="0.35">
      <c r="A7" s="1" t="s">
        <v>21</v>
      </c>
      <c r="B7" s="1" t="s">
        <v>12</v>
      </c>
      <c r="C7" s="1" t="s">
        <v>12</v>
      </c>
      <c r="D7" s="1" t="s">
        <v>13</v>
      </c>
      <c r="E7" s="1" t="s">
        <v>22</v>
      </c>
      <c r="F7" s="1">
        <f t="shared" si="0"/>
        <v>6.25</v>
      </c>
      <c r="G7" s="1" t="str">
        <f t="shared" si="1"/>
        <v>Aprovado</v>
      </c>
    </row>
    <row r="8" spans="1:7" x14ac:dyDescent="0.35">
      <c r="A8" s="1" t="s">
        <v>23</v>
      </c>
      <c r="B8" s="1" t="s">
        <v>12</v>
      </c>
      <c r="C8" s="1" t="s">
        <v>16</v>
      </c>
      <c r="D8" s="1">
        <v>8</v>
      </c>
      <c r="E8" s="1" t="s">
        <v>14</v>
      </c>
      <c r="F8" s="1">
        <f t="shared" si="0"/>
        <v>6</v>
      </c>
      <c r="G8" s="1" t="str">
        <f t="shared" si="1"/>
        <v>Aprovado</v>
      </c>
    </row>
    <row r="9" spans="1:7" x14ac:dyDescent="0.35">
      <c r="A9" s="1" t="s">
        <v>24</v>
      </c>
      <c r="B9" s="1" t="s">
        <v>16</v>
      </c>
      <c r="C9" s="1" t="s">
        <v>16</v>
      </c>
      <c r="D9" s="1" t="s">
        <v>14</v>
      </c>
      <c r="E9" s="1" t="s">
        <v>16</v>
      </c>
      <c r="F9" s="1">
        <f t="shared" si="0"/>
        <v>1.5</v>
      </c>
      <c r="G9" s="1" t="str">
        <f t="shared" si="1"/>
        <v>Reprovado</v>
      </c>
    </row>
    <row r="10" spans="1:7" x14ac:dyDescent="0.35">
      <c r="A10" s="1" t="s">
        <v>25</v>
      </c>
      <c r="B10" s="1" t="s">
        <v>16</v>
      </c>
      <c r="C10" s="1" t="s">
        <v>16</v>
      </c>
      <c r="D10" s="1" t="s">
        <v>16</v>
      </c>
      <c r="E10" s="1" t="s">
        <v>16</v>
      </c>
      <c r="F10" s="1">
        <f t="shared" si="0"/>
        <v>0</v>
      </c>
      <c r="G10" s="1" t="str">
        <f t="shared" si="1"/>
        <v>Reprovado</v>
      </c>
    </row>
    <row r="11" spans="1:7" x14ac:dyDescent="0.35">
      <c r="A11" s="1" t="s">
        <v>26</v>
      </c>
      <c r="B11" s="1" t="s">
        <v>12</v>
      </c>
      <c r="C11" s="1" t="s">
        <v>12</v>
      </c>
      <c r="D11" s="1">
        <v>8</v>
      </c>
      <c r="E11" s="1" t="s">
        <v>19</v>
      </c>
      <c r="F11" s="1">
        <f t="shared" si="0"/>
        <v>6</v>
      </c>
      <c r="G11" s="1" t="str">
        <f t="shared" si="1"/>
        <v>Aprovado</v>
      </c>
    </row>
    <row r="12" spans="1:7" x14ac:dyDescent="0.35">
      <c r="A12" s="1" t="s">
        <v>27</v>
      </c>
      <c r="B12" s="1" t="s">
        <v>12</v>
      </c>
      <c r="C12" s="1" t="s">
        <v>12</v>
      </c>
      <c r="D12" s="1" t="s">
        <v>13</v>
      </c>
      <c r="E12" s="1" t="s">
        <v>28</v>
      </c>
      <c r="F12" s="1">
        <f t="shared" si="0"/>
        <v>9.75</v>
      </c>
      <c r="G12" s="1" t="str">
        <f t="shared" si="1"/>
        <v>Aprovado</v>
      </c>
    </row>
    <row r="13" spans="1:7" x14ac:dyDescent="0.35">
      <c r="A13" s="1" t="s">
        <v>29</v>
      </c>
      <c r="B13" s="1" t="s">
        <v>12</v>
      </c>
      <c r="C13" s="1" t="s">
        <v>12</v>
      </c>
      <c r="D13" s="1" t="s">
        <v>30</v>
      </c>
      <c r="E13" s="1" t="s">
        <v>31</v>
      </c>
      <c r="F13" s="1">
        <f t="shared" si="0"/>
        <v>7.25</v>
      </c>
      <c r="G13" s="1" t="str">
        <f t="shared" si="1"/>
        <v>Aprovado</v>
      </c>
    </row>
    <row r="14" spans="1:7" x14ac:dyDescent="0.35">
      <c r="A14" s="1" t="s">
        <v>32</v>
      </c>
      <c r="B14" s="1" t="s">
        <v>16</v>
      </c>
      <c r="C14" s="1" t="s">
        <v>16</v>
      </c>
      <c r="D14" s="1" t="s">
        <v>18</v>
      </c>
      <c r="E14" s="1" t="s">
        <v>19</v>
      </c>
      <c r="F14" s="1">
        <f t="shared" si="0"/>
        <v>4.5</v>
      </c>
      <c r="G14" s="1" t="str">
        <f t="shared" si="1"/>
        <v>Reprovado</v>
      </c>
    </row>
    <row r="15" spans="1:7" x14ac:dyDescent="0.35">
      <c r="A15" s="1" t="s">
        <v>33</v>
      </c>
      <c r="B15" s="1" t="s">
        <v>16</v>
      </c>
      <c r="C15" s="1" t="s">
        <v>16</v>
      </c>
      <c r="D15" s="1" t="s">
        <v>14</v>
      </c>
      <c r="E15" s="1" t="s">
        <v>12</v>
      </c>
      <c r="F15" s="1">
        <f t="shared" si="0"/>
        <v>2</v>
      </c>
      <c r="G15" s="1" t="str">
        <f t="shared" si="1"/>
        <v>Reprovado</v>
      </c>
    </row>
    <row r="16" spans="1:7" x14ac:dyDescent="0.35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>
        <f t="shared" si="0"/>
        <v>0</v>
      </c>
      <c r="G16" s="1" t="str">
        <f t="shared" si="1"/>
        <v>Reprovado</v>
      </c>
    </row>
    <row r="17" spans="1:7" x14ac:dyDescent="0.35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>
        <f t="shared" si="0"/>
        <v>0</v>
      </c>
      <c r="G17" s="1" t="str">
        <f t="shared" si="1"/>
        <v>Reprovado</v>
      </c>
    </row>
    <row r="18" spans="1:7" x14ac:dyDescent="0.35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37</v>
      </c>
      <c r="F18" s="1">
        <f t="shared" si="0"/>
        <v>0.25</v>
      </c>
      <c r="G18" s="1" t="str">
        <f t="shared" si="1"/>
        <v>Reprovado</v>
      </c>
    </row>
    <row r="19" spans="1:7" x14ac:dyDescent="0.35">
      <c r="A19" s="1" t="s">
        <v>38</v>
      </c>
      <c r="B19" s="1" t="s">
        <v>16</v>
      </c>
      <c r="C19" s="1" t="s">
        <v>16</v>
      </c>
      <c r="D19" s="1" t="s">
        <v>16</v>
      </c>
      <c r="E19" s="1" t="s">
        <v>16</v>
      </c>
      <c r="F19" s="1">
        <f t="shared" si="0"/>
        <v>0</v>
      </c>
      <c r="G19" s="1" t="str">
        <f t="shared" si="1"/>
        <v>Reprovado</v>
      </c>
    </row>
    <row r="20" spans="1:7" x14ac:dyDescent="0.35">
      <c r="A20" s="1" t="s">
        <v>39</v>
      </c>
      <c r="B20" s="1" t="s">
        <v>16</v>
      </c>
      <c r="C20" s="1" t="s">
        <v>16</v>
      </c>
      <c r="D20" s="1" t="s">
        <v>16</v>
      </c>
      <c r="E20" s="1" t="s">
        <v>16</v>
      </c>
      <c r="F20" s="1">
        <f t="shared" si="0"/>
        <v>0</v>
      </c>
      <c r="G20" s="1" t="str">
        <f t="shared" si="1"/>
        <v>Reprovado</v>
      </c>
    </row>
    <row r="21" spans="1:7" x14ac:dyDescent="0.35">
      <c r="A21" s="1" t="s">
        <v>40</v>
      </c>
      <c r="B21" s="1" t="s">
        <v>16</v>
      </c>
      <c r="C21" s="1" t="s">
        <v>16</v>
      </c>
      <c r="D21" s="1" t="s">
        <v>16</v>
      </c>
      <c r="E21" s="1" t="s">
        <v>16</v>
      </c>
      <c r="F21" s="1">
        <f t="shared" si="0"/>
        <v>0</v>
      </c>
      <c r="G21" s="1" t="str">
        <f t="shared" si="1"/>
        <v>Reprovado</v>
      </c>
    </row>
    <row r="22" spans="1:7" x14ac:dyDescent="0.35">
      <c r="A22" s="1" t="s">
        <v>41</v>
      </c>
      <c r="B22" s="1" t="s">
        <v>12</v>
      </c>
      <c r="C22" s="1" t="s">
        <v>12</v>
      </c>
      <c r="D22" s="1" t="s">
        <v>42</v>
      </c>
      <c r="E22" s="1" t="s">
        <v>12</v>
      </c>
      <c r="F22" s="1">
        <f t="shared" si="0"/>
        <v>4.5</v>
      </c>
      <c r="G22" s="1" t="str">
        <f t="shared" si="1"/>
        <v>Reprovado</v>
      </c>
    </row>
    <row r="23" spans="1:7" x14ac:dyDescent="0.35">
      <c r="A23" s="1" t="s">
        <v>43</v>
      </c>
      <c r="B23" s="1" t="s">
        <v>16</v>
      </c>
      <c r="C23" s="1" t="s">
        <v>16</v>
      </c>
      <c r="D23" s="1" t="s">
        <v>16</v>
      </c>
      <c r="E23" s="1" t="s">
        <v>16</v>
      </c>
      <c r="F23" s="1">
        <f t="shared" si="0"/>
        <v>0</v>
      </c>
      <c r="G23" s="1" t="str">
        <f t="shared" si="1"/>
        <v>Reprovado</v>
      </c>
    </row>
    <row r="24" spans="1:7" x14ac:dyDescent="0.35">
      <c r="A24" s="1" t="s">
        <v>44</v>
      </c>
      <c r="B24" s="1" t="s">
        <v>16</v>
      </c>
      <c r="C24" s="1" t="s">
        <v>16</v>
      </c>
      <c r="D24" s="1" t="s">
        <v>18</v>
      </c>
      <c r="E24" s="1" t="s">
        <v>19</v>
      </c>
      <c r="F24" s="1">
        <f t="shared" si="0"/>
        <v>4.5</v>
      </c>
      <c r="G24" s="1" t="str">
        <f t="shared" si="1"/>
        <v>Reprovado</v>
      </c>
    </row>
    <row r="25" spans="1:7" x14ac:dyDescent="0.35">
      <c r="A25" s="1" t="s">
        <v>45</v>
      </c>
      <c r="B25" s="1" t="s">
        <v>12</v>
      </c>
      <c r="C25" s="1" t="s">
        <v>12</v>
      </c>
      <c r="D25" s="1" t="s">
        <v>42</v>
      </c>
      <c r="E25" s="1" t="s">
        <v>31</v>
      </c>
      <c r="F25" s="1">
        <f t="shared" si="0"/>
        <v>5.75</v>
      </c>
      <c r="G25" s="1" t="str">
        <f t="shared" si="1"/>
        <v>Aprovado</v>
      </c>
    </row>
    <row r="26" spans="1:7" x14ac:dyDescent="0.35">
      <c r="A26" s="1" t="s">
        <v>46</v>
      </c>
      <c r="B26" s="1" t="s">
        <v>12</v>
      </c>
      <c r="C26" s="1" t="s">
        <v>12</v>
      </c>
      <c r="D26" s="1" t="s">
        <v>16</v>
      </c>
      <c r="E26" s="1" t="s">
        <v>16</v>
      </c>
      <c r="F26" s="1">
        <f t="shared" si="0"/>
        <v>1</v>
      </c>
      <c r="G26" s="1" t="str">
        <f t="shared" si="1"/>
        <v>Reprovado</v>
      </c>
    </row>
    <row r="27" spans="1:7" x14ac:dyDescent="0.35">
      <c r="A27" s="1" t="s">
        <v>47</v>
      </c>
      <c r="B27" s="1" t="s">
        <v>16</v>
      </c>
      <c r="C27" s="1" t="s">
        <v>16</v>
      </c>
      <c r="D27" s="1" t="s">
        <v>14</v>
      </c>
      <c r="E27" s="1" t="s">
        <v>16</v>
      </c>
      <c r="F27" s="1">
        <f t="shared" si="0"/>
        <v>1.5</v>
      </c>
      <c r="G27" s="1" t="str">
        <f t="shared" si="1"/>
        <v>Reprovado</v>
      </c>
    </row>
    <row r="28" spans="1:7" x14ac:dyDescent="0.35">
      <c r="A28" s="1" t="s">
        <v>48</v>
      </c>
      <c r="B28" s="1" t="s">
        <v>16</v>
      </c>
      <c r="C28" s="1" t="s">
        <v>16</v>
      </c>
      <c r="D28" s="1" t="s">
        <v>42</v>
      </c>
      <c r="E28" s="1" t="s">
        <v>49</v>
      </c>
      <c r="F28" s="1">
        <f t="shared" si="0"/>
        <v>3</v>
      </c>
      <c r="G28" s="1" t="str">
        <f t="shared" si="1"/>
        <v>Reprovado</v>
      </c>
    </row>
    <row r="29" spans="1:7" x14ac:dyDescent="0.35">
      <c r="A29" s="1" t="s">
        <v>50</v>
      </c>
      <c r="B29" s="1" t="s">
        <v>16</v>
      </c>
      <c r="C29" s="1" t="s">
        <v>16</v>
      </c>
      <c r="D29" s="1" t="s">
        <v>51</v>
      </c>
      <c r="E29" s="1" t="s">
        <v>37</v>
      </c>
      <c r="F29" s="1">
        <f t="shared" si="0"/>
        <v>2.75</v>
      </c>
      <c r="G29" s="1" t="str">
        <f t="shared" si="1"/>
        <v>Reprovado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BBEFB8-5007-4D9B-95A7-B7DA4B08AE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Jeffrey24</dc:creator>
  <cp:lastModifiedBy>Jeffrey24</cp:lastModifiedBy>
  <dcterms:created xsi:type="dcterms:W3CDTF">2025-09-04T16:28:24Z</dcterms:created>
  <dcterms:modified xsi:type="dcterms:W3CDTF">2025-09-04T20:05:29Z</dcterms:modified>
</cp:coreProperties>
</file>